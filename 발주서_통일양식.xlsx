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</font>
    <font>
      <name val="Arial"/>
      <b val="1"/>
      <color rgb="00C00000"/>
    </font>
    <font>
      <name val="Arial"/>
      <b val="1"/>
      <color rgb="00808080"/>
      <sz val="9"/>
    </font>
    <font>
      <name val="Arial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3" fontId="4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3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26" customWidth="1" min="4" max="4"/>
    <col width="16" customWidth="1" min="5" max="5"/>
    <col width="14" customWidth="1" min="6" max="6"/>
    <col width="11" customWidth="1" min="7" max="7"/>
    <col width="9" customWidth="1" min="8" max="8"/>
    <col width="12" customWidth="1" min="9" max="9"/>
    <col width="14" customWidth="1" min="10" max="10"/>
  </cols>
  <sheetData>
    <row r="1" ht="30" customHeight="1">
      <c r="A1" s="1" t="inlineStr">
        <is>
          <t>发 注 书  (PURCHASE ORDER · 발주서)</t>
        </is>
      </c>
    </row>
    <row r="2">
      <c r="A2" s="2" t="inlineStr">
        <is>
          <t>订购日期(발주일):</t>
        </is>
      </c>
      <c r="C2" s="2" t="inlineStr">
        <is>
          <t>차수:</t>
        </is>
      </c>
      <c r="E2" s="2" t="inlineStr">
        <is>
          <t>供应商(공급처):</t>
        </is>
      </c>
      <c r="H2" s="2" t="inlineStr">
        <is>
          <t>微信(연락처):</t>
        </is>
      </c>
    </row>
    <row r="4" ht="30" customHeight="1">
      <c r="A4" s="3" t="inlineStr">
        <is>
          <t>No.</t>
        </is>
      </c>
      <c r="B4" s="3" t="inlineStr">
        <is>
          <t>图片
(이미지)</t>
        </is>
      </c>
      <c r="C4" s="3" t="inlineStr">
        <is>
          <t>自体代码
(자체옵션코드)</t>
        </is>
      </c>
      <c r="D4" s="3" t="inlineStr">
        <is>
          <t>产品名
(제품명·중문)</t>
        </is>
      </c>
      <c r="E4" s="3" t="inlineStr">
        <is>
          <t>选项名
(옵션명·중문)</t>
        </is>
      </c>
      <c r="F4" s="3" t="inlineStr">
        <is>
          <t>尺寸
(규격)</t>
        </is>
      </c>
      <c r="G4" s="3" t="inlineStr">
        <is>
          <t>单价 위안(￥)</t>
        </is>
      </c>
      <c r="H4" s="3" t="inlineStr">
        <is>
          <t>数量
(수량)</t>
        </is>
      </c>
      <c r="I4" s="3" t="inlineStr">
        <is>
          <t>合计(￥)</t>
        </is>
      </c>
      <c r="J4" s="3" t="inlineStr">
        <is>
          <t>备注
(비고)</t>
        </is>
      </c>
    </row>
    <row r="5" ht="44" customHeight="1">
      <c r="A5" s="4" t="n">
        <v>1</v>
      </c>
      <c r="B5" s="5" t="n"/>
      <c r="C5" s="5" t="n"/>
      <c r="D5" s="5" t="n"/>
      <c r="E5" s="5" t="n"/>
      <c r="F5" s="5" t="n"/>
      <c r="G5" s="6" t="n"/>
      <c r="H5" s="7" t="n"/>
      <c r="I5" s="7">
        <f>IF(H5="","",G5*H5)</f>
        <v/>
      </c>
      <c r="J5" s="5" t="n"/>
    </row>
    <row r="6" ht="44" customHeight="1">
      <c r="A6" s="4" t="n">
        <v>2</v>
      </c>
      <c r="B6" s="5" t="n"/>
      <c r="C6" s="5" t="n"/>
      <c r="D6" s="5" t="n"/>
      <c r="E6" s="5" t="n"/>
      <c r="F6" s="5" t="n"/>
      <c r="G6" s="6" t="n"/>
      <c r="H6" s="7" t="n"/>
      <c r="I6" s="7">
        <f>IF(H6="","",G6*H6)</f>
        <v/>
      </c>
      <c r="J6" s="5" t="n"/>
    </row>
    <row r="7" ht="44" customHeight="1">
      <c r="A7" s="4" t="n">
        <v>3</v>
      </c>
      <c r="B7" s="5" t="n"/>
      <c r="C7" s="5" t="n"/>
      <c r="D7" s="5" t="n"/>
      <c r="E7" s="5" t="n"/>
      <c r="F7" s="5" t="n"/>
      <c r="G7" s="6" t="n"/>
      <c r="H7" s="7" t="n"/>
      <c r="I7" s="7">
        <f>IF(H7="","",G7*H7)</f>
        <v/>
      </c>
      <c r="J7" s="5" t="n"/>
    </row>
    <row r="8" ht="44" customHeight="1">
      <c r="A8" s="4" t="n">
        <v>4</v>
      </c>
      <c r="B8" s="5" t="n"/>
      <c r="C8" s="5" t="n"/>
      <c r="D8" s="5" t="n"/>
      <c r="E8" s="5" t="n"/>
      <c r="F8" s="5" t="n"/>
      <c r="G8" s="6" t="n"/>
      <c r="H8" s="7" t="n"/>
      <c r="I8" s="7">
        <f>IF(H8="","",G8*H8)</f>
        <v/>
      </c>
      <c r="J8" s="5" t="n"/>
    </row>
    <row r="9" ht="44" customHeight="1">
      <c r="A9" s="4" t="n">
        <v>5</v>
      </c>
      <c r="B9" s="5" t="n"/>
      <c r="C9" s="5" t="n"/>
      <c r="D9" s="5" t="n"/>
      <c r="E9" s="5" t="n"/>
      <c r="F9" s="5" t="n"/>
      <c r="G9" s="6" t="n"/>
      <c r="H9" s="7" t="n"/>
      <c r="I9" s="7">
        <f>IF(H9="","",G9*H9)</f>
        <v/>
      </c>
      <c r="J9" s="5" t="n"/>
    </row>
    <row r="10" ht="44" customHeight="1">
      <c r="A10" s="4" t="n">
        <v>6</v>
      </c>
      <c r="B10" s="5" t="n"/>
      <c r="C10" s="5" t="n"/>
      <c r="D10" s="5" t="n"/>
      <c r="E10" s="5" t="n"/>
      <c r="F10" s="5" t="n"/>
      <c r="G10" s="6" t="n"/>
      <c r="H10" s="7" t="n"/>
      <c r="I10" s="7">
        <f>IF(H10="","",G10*H10)</f>
        <v/>
      </c>
      <c r="J10" s="5" t="n"/>
    </row>
    <row r="11" ht="44" customHeight="1">
      <c r="A11" s="4" t="n">
        <v>7</v>
      </c>
      <c r="B11" s="5" t="n"/>
      <c r="C11" s="5" t="n"/>
      <c r="D11" s="5" t="n"/>
      <c r="E11" s="5" t="n"/>
      <c r="F11" s="5" t="n"/>
      <c r="G11" s="6" t="n"/>
      <c r="H11" s="7" t="n"/>
      <c r="I11" s="7">
        <f>IF(H11="","",G11*H11)</f>
        <v/>
      </c>
      <c r="J11" s="5" t="n"/>
    </row>
    <row r="12" ht="44" customHeight="1">
      <c r="A12" s="4" t="n">
        <v>8</v>
      </c>
      <c r="B12" s="5" t="n"/>
      <c r="C12" s="5" t="n"/>
      <c r="D12" s="5" t="n"/>
      <c r="E12" s="5" t="n"/>
      <c r="F12" s="5" t="n"/>
      <c r="G12" s="6" t="n"/>
      <c r="H12" s="7" t="n"/>
      <c r="I12" s="7">
        <f>IF(H12="","",G12*H12)</f>
        <v/>
      </c>
      <c r="J12" s="5" t="n"/>
    </row>
    <row r="13" ht="44" customHeight="1">
      <c r="A13" s="4" t="n">
        <v>9</v>
      </c>
      <c r="B13" s="5" t="n"/>
      <c r="C13" s="5" t="n"/>
      <c r="D13" s="5" t="n"/>
      <c r="E13" s="5" t="n"/>
      <c r="F13" s="5" t="n"/>
      <c r="G13" s="6" t="n"/>
      <c r="H13" s="7" t="n"/>
      <c r="I13" s="7">
        <f>IF(H13="","",G13*H13)</f>
        <v/>
      </c>
      <c r="J13" s="5" t="n"/>
    </row>
    <row r="14" ht="44" customHeight="1">
      <c r="A14" s="4" t="n">
        <v>10</v>
      </c>
      <c r="B14" s="5" t="n"/>
      <c r="C14" s="5" t="n"/>
      <c r="D14" s="5" t="n"/>
      <c r="E14" s="5" t="n"/>
      <c r="F14" s="5" t="n"/>
      <c r="G14" s="6" t="n"/>
      <c r="H14" s="7" t="n"/>
      <c r="I14" s="7">
        <f>IF(H14="","",G14*H14)</f>
        <v/>
      </c>
      <c r="J14" s="5" t="n"/>
    </row>
    <row r="15" ht="44" customHeight="1">
      <c r="A15" s="4" t="n">
        <v>11</v>
      </c>
      <c r="B15" s="5" t="n"/>
      <c r="C15" s="5" t="n"/>
      <c r="D15" s="5" t="n"/>
      <c r="E15" s="5" t="n"/>
      <c r="F15" s="5" t="n"/>
      <c r="G15" s="6" t="n"/>
      <c r="H15" s="7" t="n"/>
      <c r="I15" s="7">
        <f>IF(H15="","",G15*H15)</f>
        <v/>
      </c>
      <c r="J15" s="5" t="n"/>
    </row>
    <row r="16" ht="44" customHeight="1">
      <c r="A16" s="4" t="n">
        <v>12</v>
      </c>
      <c r="B16" s="5" t="n"/>
      <c r="C16" s="5" t="n"/>
      <c r="D16" s="5" t="n"/>
      <c r="E16" s="5" t="n"/>
      <c r="F16" s="5" t="n"/>
      <c r="G16" s="6" t="n"/>
      <c r="H16" s="7" t="n"/>
      <c r="I16" s="7">
        <f>IF(H16="","",G16*H16)</f>
        <v/>
      </c>
      <c r="J16" s="5" t="n"/>
    </row>
    <row r="17" ht="44" customHeight="1">
      <c r="A17" s="4" t="n">
        <v>13</v>
      </c>
      <c r="B17" s="5" t="n"/>
      <c r="C17" s="5" t="n"/>
      <c r="D17" s="5" t="n"/>
      <c r="E17" s="5" t="n"/>
      <c r="F17" s="5" t="n"/>
      <c r="G17" s="6" t="n"/>
      <c r="H17" s="7" t="n"/>
      <c r="I17" s="7">
        <f>IF(H17="","",G17*H17)</f>
        <v/>
      </c>
      <c r="J17" s="5" t="n"/>
    </row>
    <row r="18" ht="44" customHeight="1">
      <c r="A18" s="4" t="n">
        <v>14</v>
      </c>
      <c r="B18" s="5" t="n"/>
      <c r="C18" s="5" t="n"/>
      <c r="D18" s="5" t="n"/>
      <c r="E18" s="5" t="n"/>
      <c r="F18" s="5" t="n"/>
      <c r="G18" s="6" t="n"/>
      <c r="H18" s="7" t="n"/>
      <c r="I18" s="7">
        <f>IF(H18="","",G18*H18)</f>
        <v/>
      </c>
      <c r="J18" s="5" t="n"/>
    </row>
    <row r="19" ht="44" customHeight="1">
      <c r="A19" s="4" t="n">
        <v>15</v>
      </c>
      <c r="B19" s="5" t="n"/>
      <c r="C19" s="5" t="n"/>
      <c r="D19" s="5" t="n"/>
      <c r="E19" s="5" t="n"/>
      <c r="F19" s="5" t="n"/>
      <c r="G19" s="6" t="n"/>
      <c r="H19" s="7" t="n"/>
      <c r="I19" s="7">
        <f>IF(H19="","",G19*H19)</f>
        <v/>
      </c>
      <c r="J19" s="5" t="n"/>
    </row>
    <row r="20" ht="44" customHeight="1">
      <c r="A20" s="4" t="n">
        <v>16</v>
      </c>
      <c r="B20" s="5" t="n"/>
      <c r="C20" s="5" t="n"/>
      <c r="D20" s="5" t="n"/>
      <c r="E20" s="5" t="n"/>
      <c r="F20" s="5" t="n"/>
      <c r="G20" s="6" t="n"/>
      <c r="H20" s="7" t="n"/>
      <c r="I20" s="7">
        <f>IF(H20="","",G20*H20)</f>
        <v/>
      </c>
      <c r="J20" s="5" t="n"/>
    </row>
    <row r="21" ht="44" customHeight="1">
      <c r="A21" s="4" t="n">
        <v>17</v>
      </c>
      <c r="B21" s="5" t="n"/>
      <c r="C21" s="5" t="n"/>
      <c r="D21" s="5" t="n"/>
      <c r="E21" s="5" t="n"/>
      <c r="F21" s="5" t="n"/>
      <c r="G21" s="6" t="n"/>
      <c r="H21" s="7" t="n"/>
      <c r="I21" s="7">
        <f>IF(H21="","",G21*H21)</f>
        <v/>
      </c>
      <c r="J21" s="5" t="n"/>
    </row>
    <row r="22" ht="44" customHeight="1">
      <c r="A22" s="4" t="n">
        <v>18</v>
      </c>
      <c r="B22" s="5" t="n"/>
      <c r="C22" s="5" t="n"/>
      <c r="D22" s="5" t="n"/>
      <c r="E22" s="5" t="n"/>
      <c r="F22" s="5" t="n"/>
      <c r="G22" s="6" t="n"/>
      <c r="H22" s="7" t="n"/>
      <c r="I22" s="7">
        <f>IF(H22="","",G22*H22)</f>
        <v/>
      </c>
      <c r="J22" s="5" t="n"/>
    </row>
    <row r="23" ht="44" customHeight="1">
      <c r="A23" s="4" t="n">
        <v>19</v>
      </c>
      <c r="B23" s="5" t="n"/>
      <c r="C23" s="5" t="n"/>
      <c r="D23" s="5" t="n"/>
      <c r="E23" s="5" t="n"/>
      <c r="F23" s="5" t="n"/>
      <c r="G23" s="6" t="n"/>
      <c r="H23" s="7" t="n"/>
      <c r="I23" s="7">
        <f>IF(H23="","",G23*H23)</f>
        <v/>
      </c>
      <c r="J23" s="5" t="n"/>
    </row>
    <row r="24" ht="44" customHeight="1">
      <c r="A24" s="4" t="n">
        <v>20</v>
      </c>
      <c r="B24" s="5" t="n"/>
      <c r="C24" s="5" t="n"/>
      <c r="D24" s="5" t="n"/>
      <c r="E24" s="5" t="n"/>
      <c r="F24" s="5" t="n"/>
      <c r="G24" s="6" t="n"/>
      <c r="H24" s="7" t="n"/>
      <c r="I24" s="7">
        <f>IF(H24="","",G24*H24)</f>
        <v/>
      </c>
      <c r="J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9" t="inlineStr">
        <is>
          <t>合计</t>
        </is>
      </c>
      <c r="I25" s="10">
        <f>SUM(I5:I24)</f>
        <v/>
      </c>
      <c r="J25" s="8" t="n"/>
    </row>
    <row r="26">
      <c r="A26" s="5" t="n"/>
      <c r="B26" s="5" t="n"/>
      <c r="C26" s="5" t="n"/>
      <c r="D26" s="5" t="n"/>
      <c r="E26" s="5" t="n"/>
      <c r="F26" s="5" t="n"/>
      <c r="G26" s="5" t="n"/>
      <c r="H26" s="11" t="inlineStr">
        <is>
          <t>定金 30%</t>
        </is>
      </c>
      <c r="I26" s="12">
        <f>ROUND(I25*0.3,0)</f>
        <v/>
      </c>
      <c r="J26" s="5" t="n"/>
    </row>
    <row r="28">
      <c r="A28" s="13" t="inlineStr">
        <is>
          <t>※ 사용법</t>
        </is>
      </c>
    </row>
    <row r="29">
      <c r="A29" s="14" t="inlineStr">
        <is>
          <t>1) 파일명은 「YYMMDD 상품명 N차.xlsx」 — 대시보드가 발주일·차수를 자동 인식합니다. (예: 260710 양배추슬라이서 52차.xlsx)</t>
        </is>
      </c>
    </row>
    <row r="30">
      <c r="A30" s="14" t="inlineStr">
        <is>
          <t>2) 자체옵션코드는 대시보드 제품 DB의 옵션코드를 그대로 — 제품 DB에서 행을 복사(Ctrl+C)해 붙여넣으면 편합니다.</t>
        </is>
      </c>
    </row>
    <row r="31">
      <c r="A31" s="14" t="inlineStr">
        <is>
          <t>3) 코드가 채워진 행은 대시보드 가져오기에서 100% 자동 매칭됩니다. 제품 DB에 없는 신제품은 먼저 제품 DB에 등록하세요.</t>
        </is>
      </c>
    </row>
    <row r="32">
      <c r="A32" s="14" t="inlineStr">
        <is>
          <t>4) 合计·선금은 자동 계산됩니다. 선금 비율(30%)은 계약 조건에 맞게 수식을 고쳐 쓰세요.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2026-07-08T06:02:05Z</dcterms:created>
  <dcterms:modified xsi:type="dcterms:W3CDTF">2026-07-08T06:02:05Z</dcterms:modified>
</cp:coreProperties>
</file>